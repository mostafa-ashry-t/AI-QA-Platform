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ug Details" sheetId="2" state="visible" r:id="rId2"/>
    <sheet name="Evidence" sheetId="3" state="visible" r:id="rId3"/>
  </sheets>
  <definedNames>
    <definedName name="_xlnm._FilterDatabase" localSheetId="0" hidden="1">'Summary'!$A$5:$H$10</definedName>
    <definedName name="_xlnm._FilterDatabase" localSheetId="1" hidden="1">'Bug Details'!$A$1:$T$6</definedName>
    <definedName name="_xlnm.Print_Titles" localSheetId="1">'Bug Details'!$1:$1</definedName>
    <definedName name="_xlnm._FilterDatabase" localSheetId="2" hidden="1">'Evidence'!$A$1:$G$13</definedName>
    <definedName name="_xlnm.Print_Titles" localSheetId="2">'Evidence'!$1:$1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3864"/>
      <sz val="16"/>
    </font>
    <font>
      <name val="Calibri"/>
      <i val="1"/>
      <color rgb="00595959"/>
      <sz val="10"/>
    </font>
    <font>
      <b val="1"/>
      <color rgb="00843C0C"/>
    </font>
    <font>
      <b val="1"/>
      <color rgb="001F3864"/>
      <sz val="12"/>
    </font>
    <font>
      <name val="Calibri"/>
      <b val="1"/>
      <color rgb="00FFFFFF"/>
      <sz val="11"/>
    </font>
    <font>
      <b val="1"/>
      <color rgb="001F3864"/>
    </font>
  </fonts>
  <fills count="5">
    <fill>
      <patternFill/>
    </fill>
    <fill>
      <patternFill patternType="gray125"/>
    </fill>
    <fill>
      <patternFill patternType="solid">
        <fgColor rgb="00FCE4D6"/>
      </patternFill>
    </fill>
    <fill>
      <patternFill patternType="solid">
        <fgColor rgb="001F3864"/>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center" wrapText="1"/>
    </xf>
    <xf numFmtId="0" fontId="4" fillId="0" borderId="0" pivotButton="0" quotePrefix="0" xfId="0"/>
    <xf numFmtId="0" fontId="5" fillId="3" borderId="1" applyAlignment="1" pivotButton="0" quotePrefix="0" xfId="0">
      <alignment horizontal="center" vertical="center" wrapText="1"/>
    </xf>
    <xf numFmtId="0" fontId="5" fillId="3" borderId="1" applyAlignment="1" pivotButton="0" quotePrefix="0" xfId="0">
      <alignment horizontal="center" vertical="center"/>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0" fillId="0" borderId="1" applyAlignment="1" pivotButton="0" quotePrefix="0" xfId="0">
      <alignment horizontal="left" vertical="center"/>
    </xf>
    <xf numFmtId="0" fontId="0" fillId="0" borderId="1" applyAlignment="1" pivotButton="0" quotePrefix="0" xfId="0">
      <alignment horizontal="center" vertical="center"/>
    </xf>
    <xf numFmtId="0" fontId="0" fillId="4" borderId="1" applyAlignment="1" pivotButton="0" quotePrefix="0" xfId="0">
      <alignment horizontal="left" vertical="center"/>
    </xf>
    <xf numFmtId="0" fontId="0" fillId="4" borderId="1" applyAlignment="1" pivotButton="0" quotePrefix="0" xfId="0">
      <alignment horizontal="center" vertical="center"/>
    </xf>
    <xf numFmtId="0" fontId="0" fillId="0" borderId="4" pivotButton="0" quotePrefix="0" xfId="0"/>
    <xf numFmtId="0" fontId="0" fillId="0" borderId="5" pivotButton="0" quotePrefix="0" xfId="0"/>
    <xf numFmtId="0" fontId="6" fillId="0" borderId="0" applyAlignment="1" pivotButton="0" quotePrefix="0" xfId="0">
      <alignment vertical="top" wrapText="1"/>
    </xf>
    <xf numFmtId="0" fontId="0" fillId="0" borderId="0" applyAlignment="1" pivotButton="0" quotePrefix="0" xfId="0">
      <alignment vertical="top" wrapText="1"/>
    </xf>
    <xf numFmtId="0" fontId="3" fillId="2" borderId="1" applyAlignment="1" pivotButton="0" quotePrefix="0" xfId="0">
      <alignment vertical="top" wrapText="1"/>
    </xf>
  </cellXfs>
  <cellStyles count="1">
    <cellStyle name="Normal" xfId="0" builtinId="0" hidden="0"/>
  </cellStyles>
  <dxfs count="7">
    <dxf>
      <font>
        <b val="1"/>
        <color rgb="007F6000"/>
      </font>
      <fill>
        <patternFill patternType="solid">
          <fgColor rgb="00FFE699"/>
        </patternFill>
      </fill>
    </dxf>
    <dxf>
      <font>
        <b val="1"/>
        <color rgb="00833C0B"/>
      </font>
      <fill>
        <patternFill patternType="solid">
          <fgColor rgb="00F8CBAD"/>
        </patternFill>
      </fill>
    </dxf>
    <dxf>
      <font>
        <b val="1"/>
        <color rgb="007F0000"/>
      </font>
      <fill>
        <patternFill patternType="solid">
          <fgColor rgb="00FF7C80"/>
        </patternFill>
      </fill>
    </dxf>
    <dxf>
      <font>
        <b val="1"/>
        <color rgb="00006100"/>
      </font>
      <fill>
        <patternFill patternType="solid">
          <fgColor rgb="00C6EFCE"/>
        </patternFill>
      </fill>
    </dxf>
    <dxf>
      <font>
        <b val="1"/>
        <color rgb="00843C0C"/>
      </font>
      <fill>
        <patternFill patternType="solid">
          <fgColor rgb="00FCE4D6"/>
        </patternFill>
      </fill>
    </dxf>
    <dxf>
      <font>
        <b val="1"/>
        <color rgb="007F0000"/>
      </font>
      <fill>
        <patternFill patternType="solid">
          <fgColor rgb="00F8CBAD"/>
        </patternFill>
      </fill>
    </dxf>
    <dxf>
      <font>
        <b val="1"/>
        <color rgb="001F4E78"/>
      </font>
      <fill>
        <patternFill patternType="solid">
          <fgColor rgb="00DDEB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6</col>
      <colOff>0</colOff>
      <row>4</row>
      <rowOff>0</rowOff>
    </from>
    <ext cx="6096000" cy="2819400"/>
    <pic>
      <nvPicPr>
        <cNvPr id="1" name="Image 1" descr="Picture"/>
        <cNvPicPr/>
      </nvPicPr>
      <blipFill>
        <a:blip cstate="print" r:embed="rId1"/>
        <a:stretch>
          <a:fillRect/>
        </a:stretch>
      </blipFill>
      <spPr>
        <a:prstGeom prst="rect"/>
      </spPr>
    </pic>
    <clientData/>
  </oneCellAnchor>
  <oneCellAnchor>
    <from>
      <col>6</col>
      <colOff>0</colOff>
      <row>5</row>
      <rowOff>0</rowOff>
    </from>
    <ext cx="6096000" cy="2819400"/>
    <pic>
      <nvPicPr>
        <cNvPr id="2" name="Image 2" descr="Picture"/>
        <cNvPicPr/>
      </nvPicPr>
      <blipFill>
        <a:blip cstate="print" r:embed="rId2"/>
        <a:stretch>
          <a:fillRect/>
        </a:stretch>
      </blipFill>
      <spPr>
        <a:prstGeom prst="rect"/>
      </spPr>
    </pic>
    <clientData/>
  </oneCellAnchor>
  <oneCellAnchor>
    <from>
      <col>6</col>
      <colOff>0</colOff>
      <row>7</row>
      <rowOff>0</rowOff>
    </from>
    <ext cx="6096000" cy="2819400"/>
    <pic>
      <nvPicPr>
        <cNvPr id="3" name="Image 3" descr="Picture"/>
        <cNvPicPr/>
      </nvPicPr>
      <blipFill>
        <a:blip cstate="print" r:embed="rId3"/>
        <a:stretch>
          <a:fillRect/>
        </a:stretch>
      </blipFill>
      <spPr>
        <a:prstGeom prst="rect"/>
      </spPr>
    </pic>
    <clientData/>
  </oneCellAnchor>
  <oneCellAnchor>
    <from>
      <col>6</col>
      <colOff>0</colOff>
      <row>11</row>
      <rowOff>0</rowOff>
    </from>
    <ext cx="6096000" cy="2819400"/>
    <pic>
      <nvPicPr>
        <cNvPr id="4" name="Image 4" descr="Picture"/>
        <cNvPicPr/>
      </nvPicPr>
      <blipFill>
        <a:blip cstate="print" r:embed="rId4"/>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K26"/>
  <sheetViews>
    <sheetView showGridLines="0" workbookViewId="0">
      <pane ySplit="5" topLeftCell="A6" activePane="bottomLeft" state="frozen"/>
      <selection pane="bottomLeft" activeCell="A1" sqref="A1"/>
    </sheetView>
  </sheetViews>
  <sheetFormatPr baseColWidth="8" defaultRowHeight="15"/>
  <cols>
    <col width="12" customWidth="1" min="1" max="1"/>
    <col width="58" customWidth="1" min="2" max="2"/>
    <col width="15" customWidth="1" min="3" max="3"/>
    <col width="14" customWidth="1" min="4" max="4"/>
    <col width="18" customWidth="1" min="5" max="5"/>
    <col width="11" customWidth="1" min="6" max="6"/>
    <col width="11" customWidth="1" min="7" max="7"/>
    <col width="11" customWidth="1" min="8" max="8"/>
    <col width="3" customWidth="1" min="9" max="9"/>
    <col width="22" customWidth="1" min="10" max="10"/>
    <col width="10" customWidth="1" min="11" max="11"/>
  </cols>
  <sheetData>
    <row r="1">
      <c r="A1" s="1" t="inlineStr">
        <is>
          <t>OrangeHRM Directory — Bug Report Tracker</t>
        </is>
      </c>
    </row>
    <row r="2" ht="30" customHeight="1">
      <c r="A2" s="2" t="inlineStr">
        <is>
          <t>Source: platform/tasks/orangehrm-ui-api/bugs/BugReports.md (document version 1.1.0, Draft — awaiting `MANUAL_EXECUTION_APPROVED`). Task orangehrm-ui-api, run RUN-001. Generated 2026-10-18 09:50 UTC.</t>
        </is>
      </c>
    </row>
    <row r="3" ht="36" customHeight="1">
      <c r="A3" s="3" t="inlineStr">
        <is>
          <t>All five bugs are SUSPECTED, not Confirmed: none comes from a FAIL against an approved expected result, and each expected behavior requires confirmation. Environment / test-data issues PR-006 – PR-008 are not bugs (listed at the bottom).</t>
        </is>
      </c>
    </row>
    <row r="4">
      <c r="A4" s="4" t="inlineStr">
        <is>
          <t>Bugs</t>
        </is>
      </c>
      <c r="J4" s="4" t="inlineStr">
        <is>
          <t>Counts (live formulas over the bug table)</t>
        </is>
      </c>
    </row>
    <row r="5" ht="30" customHeight="1">
      <c r="A5" s="5" t="inlineStr">
        <is>
          <t>Bug ID</t>
        </is>
      </c>
      <c r="B5" s="5" t="inlineStr">
        <is>
          <t>Title</t>
        </is>
      </c>
      <c r="C5" s="5" t="inlineStr">
        <is>
          <t>Classification</t>
        </is>
      </c>
      <c r="D5" s="5" t="inlineStr">
        <is>
          <t>Problem Review</t>
        </is>
      </c>
      <c r="E5" s="5" t="inlineStr">
        <is>
          <t>Related test cases</t>
        </is>
      </c>
      <c r="F5" s="5" t="inlineStr">
        <is>
          <t>Severity</t>
        </is>
      </c>
      <c r="G5" s="5" t="inlineStr">
        <is>
          <t>Priority</t>
        </is>
      </c>
      <c r="H5" s="5" t="inlineStr">
        <is>
          <t>Status</t>
        </is>
      </c>
      <c r="J5" s="6" t="inlineStr">
        <is>
          <t>Metric</t>
        </is>
      </c>
      <c r="K5" s="6" t="inlineStr">
        <is>
          <t>Count</t>
        </is>
      </c>
    </row>
    <row r="6" ht="30" customHeight="1">
      <c r="A6" s="7" t="inlineStr">
        <is>
          <t>BUG-001</t>
        </is>
      </c>
      <c r="B6" s="8" t="inlineStr">
        <is>
          <t>Results header shows "No Records Found" while the unfiltered list is loading</t>
        </is>
      </c>
      <c r="C6" s="7" t="inlineStr">
        <is>
          <t>Suspected</t>
        </is>
      </c>
      <c r="D6" s="7" t="inlineStr">
        <is>
          <t>PR-001</t>
        </is>
      </c>
      <c r="E6" s="8" t="inlineStr">
        <is>
          <t>TC-050</t>
        </is>
      </c>
      <c r="F6" s="7" t="inlineStr">
        <is>
          <t>Low</t>
        </is>
      </c>
      <c r="G6" s="7" t="inlineStr">
        <is>
          <t>Medium</t>
        </is>
      </c>
      <c r="H6" s="7" t="inlineStr">
        <is>
          <t>Open</t>
        </is>
      </c>
      <c r="J6" s="9" t="inlineStr">
        <is>
          <t>Total bugs</t>
        </is>
      </c>
      <c r="K6" s="10">
        <f>COUNTA(A6:A10)</f>
        <v/>
      </c>
    </row>
    <row r="7" ht="30" customHeight="1">
      <c r="A7" s="7" t="inlineStr">
        <is>
          <t>BUG-002</t>
        </is>
      </c>
      <c r="B7" s="8" t="inlineStr">
        <is>
          <t>Reset does not clear unselected text in Employee Name</t>
        </is>
      </c>
      <c r="C7" s="7" t="inlineStr">
        <is>
          <t>Suspected</t>
        </is>
      </c>
      <c r="D7" s="7" t="inlineStr">
        <is>
          <t>PR-002</t>
        </is>
      </c>
      <c r="E7" s="8" t="inlineStr">
        <is>
          <t>TC-014, TC-018</t>
        </is>
      </c>
      <c r="F7" s="7" t="inlineStr">
        <is>
          <t>Medium</t>
        </is>
      </c>
      <c r="G7" s="7" t="inlineStr">
        <is>
          <t>Medium</t>
        </is>
      </c>
      <c r="H7" s="7" t="inlineStr">
        <is>
          <t>Open</t>
        </is>
      </c>
      <c r="J7" s="11" t="inlineStr">
        <is>
          <t>Suspected</t>
        </is>
      </c>
      <c r="K7" s="12">
        <f>COUNTIF(C6:C10,"Suspected")</f>
        <v/>
      </c>
    </row>
    <row r="8" ht="30" customHeight="1">
      <c r="A8" s="7" t="inlineStr">
        <is>
          <t>BUG-003</t>
        </is>
      </c>
      <c r="B8" s="8" t="inlineStr">
        <is>
          <t>Selected employee name shows two spaces when there is no middle name</t>
        </is>
      </c>
      <c r="C8" s="7" t="inlineStr">
        <is>
          <t>Suspected</t>
        </is>
      </c>
      <c r="D8" s="7" t="inlineStr">
        <is>
          <t>PR-003</t>
        </is>
      </c>
      <c r="E8" s="8" t="inlineStr">
        <is>
          <t>TC-028</t>
        </is>
      </c>
      <c r="F8" s="7" t="inlineStr">
        <is>
          <t>Low</t>
        </is>
      </c>
      <c r="G8" s="7" t="inlineStr">
        <is>
          <t>Low</t>
        </is>
      </c>
      <c r="H8" s="7" t="inlineStr">
        <is>
          <t>Open</t>
        </is>
      </c>
      <c r="J8" s="9" t="inlineStr">
        <is>
          <t>Confirmed</t>
        </is>
      </c>
      <c r="K8" s="10">
        <f>COUNTIF(C6:C10,"Confirmed")</f>
        <v/>
      </c>
    </row>
    <row r="9" ht="30" customHeight="1">
      <c r="A9" s="7" t="inlineStr">
        <is>
          <t>BUG-004</t>
        </is>
      </c>
      <c r="B9" s="8" t="inlineStr">
        <is>
          <t>Copy icons in the employee detail panel are never visible</t>
        </is>
      </c>
      <c r="C9" s="7" t="inlineStr">
        <is>
          <t>Suspected</t>
        </is>
      </c>
      <c r="D9" s="7" t="inlineStr">
        <is>
          <t>PR-004</t>
        </is>
      </c>
      <c r="E9" s="8" t="inlineStr">
        <is>
          <t>TC-046</t>
        </is>
      </c>
      <c r="F9" s="7" t="inlineStr">
        <is>
          <t>Low</t>
        </is>
      </c>
      <c r="G9" s="7" t="inlineStr">
        <is>
          <t>Low</t>
        </is>
      </c>
      <c r="H9" s="7" t="inlineStr">
        <is>
          <t>Open</t>
        </is>
      </c>
      <c r="J9" s="11" t="inlineStr">
        <is>
          <t>Status: Open</t>
        </is>
      </c>
      <c r="K9" s="12">
        <f>COUNTIF(H6:H10,"Open")</f>
        <v/>
      </c>
    </row>
    <row r="10" ht="30" customHeight="1">
      <c r="A10" s="7" t="inlineStr">
        <is>
          <t>BUG-005</t>
        </is>
      </c>
      <c r="B10" s="8" t="inlineStr">
        <is>
          <t>"Should not exceed 100 characters" stays visible after the text is shortened</t>
        </is>
      </c>
      <c r="C10" s="7" t="inlineStr">
        <is>
          <t>Suspected</t>
        </is>
      </c>
      <c r="D10" s="7" t="inlineStr">
        <is>
          <t>PR-005</t>
        </is>
      </c>
      <c r="E10" s="8" t="inlineStr">
        <is>
          <t>TC-030</t>
        </is>
      </c>
      <c r="F10" s="7" t="inlineStr">
        <is>
          <t>Low</t>
        </is>
      </c>
      <c r="G10" s="7" t="inlineStr">
        <is>
          <t>Low</t>
        </is>
      </c>
      <c r="H10" s="7" t="inlineStr">
        <is>
          <t>Open</t>
        </is>
      </c>
      <c r="J10" s="9" t="inlineStr">
        <is>
          <t>Severity: Critical</t>
        </is>
      </c>
      <c r="K10" s="10">
        <f>COUNTIF(F6:F10,"Critical")</f>
        <v/>
      </c>
    </row>
    <row r="11">
      <c r="J11" s="11" t="inlineStr">
        <is>
          <t>Severity: High</t>
        </is>
      </c>
      <c r="K11" s="12">
        <f>COUNTIF(F6:F10,"High")</f>
        <v/>
      </c>
    </row>
    <row r="12">
      <c r="J12" s="9" t="inlineStr">
        <is>
          <t>Severity: Medium</t>
        </is>
      </c>
      <c r="K12" s="10">
        <f>COUNTIF(F6:F10,"Medium")</f>
        <v/>
      </c>
    </row>
    <row r="13">
      <c r="J13" s="11" t="inlineStr">
        <is>
          <t>Severity: Low</t>
        </is>
      </c>
      <c r="K13" s="12">
        <f>COUNTIF(F6:F10,"Low")</f>
        <v/>
      </c>
    </row>
    <row r="14">
      <c r="J14" s="9" t="inlineStr">
        <is>
          <t>Priority: High</t>
        </is>
      </c>
      <c r="K14" s="10">
        <f>COUNTIF(G6:G10,"High")</f>
        <v/>
      </c>
    </row>
    <row r="15">
      <c r="J15" s="11" t="inlineStr">
        <is>
          <t>Priority: Medium</t>
        </is>
      </c>
      <c r="K15" s="12">
        <f>COUNTIF(G6:G10,"Medium")</f>
        <v/>
      </c>
    </row>
    <row r="16">
      <c r="J16" s="9" t="inlineStr">
        <is>
          <t>Priority: Low</t>
        </is>
      </c>
      <c r="K16" s="10">
        <f>COUNTIF(G6:G10,"Low")</f>
        <v/>
      </c>
    </row>
    <row r="19">
      <c r="A19" s="4" t="inlineStr">
        <is>
          <t>Environment and test-data issues (not application bugs)</t>
        </is>
      </c>
    </row>
    <row r="20">
      <c r="A20" s="5" t="inlineStr">
        <is>
          <t>Finding</t>
        </is>
      </c>
      <c r="B20" s="5" t="inlineStr">
        <is>
          <t>Summary</t>
        </is>
      </c>
      <c r="C20" s="5" t="inlineStr">
        <is>
          <t>Related cases</t>
        </is>
      </c>
      <c r="D20" s="5" t="inlineStr">
        <is>
          <t>Why not a bug</t>
        </is>
      </c>
      <c r="E20" s="13" t="n"/>
      <c r="F20" s="13" t="n"/>
      <c r="G20" s="14" t="n"/>
      <c r="H20" s="5" t="inlineStr">
        <is>
          <t>Evidence</t>
        </is>
      </c>
    </row>
    <row r="21" ht="60" customHeight="1">
      <c r="A21" s="8" t="inlineStr">
        <is>
          <t>PR-006</t>
        </is>
      </c>
      <c r="B21" s="8" t="inlineStr">
        <is>
          <t>HTTP 500 page after login (TC-054 attempt 1, 14:00:06Z)</t>
        </is>
      </c>
      <c r="C21" s="8" t="inlineStr">
        <is>
          <t>TC-054</t>
        </is>
      </c>
      <c r="D21" s="8" t="inlineStr">
        <is>
          <t>Not reproduced; the retry 20 s later succeeded; the data total changed 307 → 95 at the same time, consistent with a demo-site reset. Failing request not captured.</t>
        </is>
      </c>
      <c r="E21" s="13" t="n"/>
      <c r="F21" s="13" t="n"/>
      <c r="G21" s="14" t="n"/>
      <c r="H21" s="8" t="inlineStr">
        <is>
          <t>EVD-139, EVD-150</t>
        </is>
      </c>
    </row>
    <row r="22" ht="30" customHeight="1">
      <c r="A22" s="8" t="inlineStr">
        <is>
          <t>PR-007</t>
        </is>
      </c>
      <c r="B22" s="8" t="inlineStr">
        <is>
          <t>Sidebar "Directory" click did not reload the page once (13:34:35Z)</t>
        </is>
      </c>
      <c r="C22" s="8" t="inlineStr">
        <is>
          <t>TC-047</t>
        </is>
      </c>
      <c r="D22" s="8" t="inlineStr">
        <is>
          <t>Single occurrence; the same action reloaded normally twice later; may be a tool timing effect.</t>
        </is>
      </c>
      <c r="E22" s="13" t="n"/>
      <c r="F22" s="13" t="n"/>
      <c r="G22" s="14" t="n"/>
      <c r="H22" s="8" t="inlineStr">
        <is>
          <t>EVD-150</t>
        </is>
      </c>
    </row>
    <row r="23" ht="30" customHeight="1">
      <c r="A23" s="8" t="inlineStr">
        <is>
          <t>PR-008</t>
        </is>
      </c>
      <c r="B23" s="8" t="inlineStr">
        <is>
          <t>Shared demo data changed continuously (totals 252 → 263 → 307 → 95 → 97; 142 on 2026-10-18)</t>
        </is>
      </c>
      <c r="C23" s="8" t="inlineStr">
        <is>
          <t>TC-055, TC-008, TC-022</t>
        </is>
      </c>
      <c r="D23" s="8" t="inlineStr">
        <is>
          <t>Uncontrolled shared data (PC RK-005); no defect implied. Caused TCI-003.</t>
        </is>
      </c>
      <c r="E23" s="13" t="n"/>
      <c r="F23" s="13" t="n"/>
      <c r="G23" s="14" t="n"/>
      <c r="H23" s="8" t="inlineStr">
        <is>
          <t>EVD-150</t>
        </is>
      </c>
    </row>
    <row r="25" ht="48" customHeight="1">
      <c r="A25" s="15" t="inlineStr">
        <is>
          <t>Common environment</t>
        </is>
      </c>
      <c r="B25" s="16" t="inlineStr">
        <is>
          <t>public shared demo site (no dedicated environment provided) · https://opensource-demo.orangehrmlive.com/web/index.php/directory/viewDirectory · OrangeHRM OS 5.9 (page footer) · Chromium via Playwright MCP, exact version not reported · desktop viewport. Log in with the demo account shown on the application's login page (credentials not recorded here).</t>
        </is>
      </c>
    </row>
    <row r="26" ht="165" customHeight="1">
      <c r="A26" s="15" t="inlineStr">
        <is>
          <t>Review notes</t>
        </is>
      </c>
      <c r="B26" s="16" t="inlineStr">
        <is>
          <t>- TC-024 (TCI-002), not a bug. Re-checked live on 2026-10-18 (EVD-151, EVD-152): after Search shows "Invalid" the suggestion list stays closed; a click, ArrowDown, double-click, Alt+ArrowDown and Tab / Shift+Tab + ArrowDown did not reopen it while the text was unchanged. This is a test-case problem: Test Design v1.4.0 (Draft, journal EVT-0034) adds a step that deletes and retypes the last character. TC-024 stays BLOCKED until v1.4.0 is approved, reviewed and executed. Update: v1.4.0 was approved (EVT-0037, EVT-0039) and TC-024 was re-executed on 2026-10-18: PASS (EVD-153, EVD-154).
- No Confirmed bugs. No executed case failed (40 PASS, 0 FAIL, 0 BLOCKED; 18 Exploratory observed).
- Bugs reported without a FAIL. The skill's default raises bugs only for FAIL results caused by an application defect. These five candidate reports were written at the human's explicit instruction (EVT-0035) and are labeled Suspected for that reason.</t>
        </is>
      </c>
    </row>
  </sheetData>
  <autoFilter ref="A5:H10"/>
  <mergeCells count="8">
    <mergeCell ref="D22:G22"/>
    <mergeCell ref="D23:G23"/>
    <mergeCell ref="A3:H3"/>
    <mergeCell ref="B26:H26"/>
    <mergeCell ref="A2:H2"/>
    <mergeCell ref="D20:G20"/>
    <mergeCell ref="D21:G21"/>
    <mergeCell ref="B25:H25"/>
  </mergeCells>
  <conditionalFormatting sqref="C6:C10">
    <cfRule type="expression" priority="1" dxfId="0">
      <formula>EXACT(C6,"Medium")</formula>
    </cfRule>
    <cfRule type="expression" priority="2" dxfId="1">
      <formula>EXACT(C6,"High")</formula>
    </cfRule>
    <cfRule type="expression" priority="3" dxfId="2">
      <formula>EXACT(C6,"Critical")</formula>
    </cfRule>
    <cfRule type="expression" priority="4" dxfId="3">
      <formula>EXACT(C6,"Low")</formula>
    </cfRule>
    <cfRule type="expression" priority="5" dxfId="4">
      <formula>EXACT(C6,"Suspected")</formula>
    </cfRule>
    <cfRule type="expression" priority="6" dxfId="5">
      <formula>EXACT(C6,"Confirmed")</formula>
    </cfRule>
    <cfRule type="expression" priority="7" dxfId="6">
      <formula>EXACT(C6,"Open")</formula>
    </cfRule>
  </conditionalFormatting>
  <conditionalFormatting sqref="F6:H10">
    <cfRule type="expression" priority="8" dxfId="0">
      <formula>EXACT(F6,"Medium")</formula>
    </cfRule>
    <cfRule type="expression" priority="9" dxfId="1">
      <formula>EXACT(F6,"High")</formula>
    </cfRule>
    <cfRule type="expression" priority="10" dxfId="2">
      <formula>EXACT(F6,"Critical")</formula>
    </cfRule>
    <cfRule type="expression" priority="11" dxfId="3">
      <formula>EXACT(F6,"Low")</formula>
    </cfRule>
    <cfRule type="expression" priority="12" dxfId="4">
      <formula>EXACT(F6,"Suspected")</formula>
    </cfRule>
    <cfRule type="expression" priority="13" dxfId="5">
      <formula>EXACT(F6,"Confirmed")</formula>
    </cfRule>
    <cfRule type="expression" priority="14" dxfId="6">
      <formula>EXACT(F6,"Open")</formula>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T6"/>
  <sheetViews>
    <sheetView zoomScale="90"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42" customWidth="1" min="3" max="3"/>
    <col width="30" customWidth="1" min="4" max="4"/>
    <col width="55" customWidth="1" min="5" max="5"/>
    <col width="34" customWidth="1" min="6" max="6"/>
    <col width="40" customWidth="1" min="7" max="7"/>
    <col width="50" customWidth="1" min="8" max="8"/>
    <col width="10" customWidth="1" min="9" max="9"/>
    <col width="14" customWidth="1" min="10" max="10"/>
    <col width="10" customWidth="1" min="11" max="11"/>
    <col width="36" customWidth="1" min="12" max="12"/>
    <col width="10" customWidth="1" min="13" max="13"/>
    <col width="36" customWidth="1" min="14" max="14"/>
    <col width="30" customWidth="1" min="15" max="15"/>
    <col width="12" customWidth="1" min="16" max="16"/>
    <col width="30" customWidth="1" min="17" max="17"/>
    <col width="28" customWidth="1" min="18" max="18"/>
    <col width="34" customWidth="1" min="19" max="19"/>
    <col width="50" customWidth="1" min="20" max="20"/>
  </cols>
  <sheetData>
    <row r="1" ht="30" customHeight="1">
      <c r="A1" s="5" t="inlineStr">
        <is>
          <t>Bug ID</t>
        </is>
      </c>
      <c r="B1" s="5" t="inlineStr">
        <is>
          <t>Title</t>
        </is>
      </c>
      <c r="C1" s="5" t="inlineStr">
        <is>
          <t>Description</t>
        </is>
      </c>
      <c r="D1" s="5" t="inlineStr">
        <is>
          <t>Preconditions</t>
        </is>
      </c>
      <c r="E1" s="5" t="inlineStr">
        <is>
          <t>Steps to Reproduce</t>
        </is>
      </c>
      <c r="F1" s="5" t="inlineStr">
        <is>
          <t>Test Data</t>
        </is>
      </c>
      <c r="G1" s="5" t="inlineStr">
        <is>
          <t>Expected Result</t>
        </is>
      </c>
      <c r="H1" s="5" t="inlineStr">
        <is>
          <t>Actual Result</t>
        </is>
      </c>
      <c r="I1" s="5" t="inlineStr">
        <is>
          <t>Status</t>
        </is>
      </c>
      <c r="J1" s="5" t="inlineStr">
        <is>
          <t>Classification</t>
        </is>
      </c>
      <c r="K1" s="5" t="inlineStr">
        <is>
          <t>Severity</t>
        </is>
      </c>
      <c r="L1" s="5" t="inlineStr">
        <is>
          <t>Severity Rationale</t>
        </is>
      </c>
      <c r="M1" s="5" t="inlineStr">
        <is>
          <t>Priority</t>
        </is>
      </c>
      <c r="N1" s="5" t="inlineStr">
        <is>
          <t>Priority Basis</t>
        </is>
      </c>
      <c r="O1" s="5" t="inlineStr">
        <is>
          <t>Affected Test Cases</t>
        </is>
      </c>
      <c r="P1" s="5" t="inlineStr">
        <is>
          <t>Problem Review</t>
        </is>
      </c>
      <c r="Q1" s="5" t="inlineStr">
        <is>
          <t>Environment</t>
        </is>
      </c>
      <c r="R1" s="5" t="inlineStr">
        <is>
          <t>Root Cause Assessment</t>
        </is>
      </c>
      <c r="S1" s="5" t="inlineStr">
        <is>
          <t>Traceability</t>
        </is>
      </c>
      <c r="T1" s="5" t="inlineStr">
        <is>
          <t>Evidence</t>
        </is>
      </c>
    </row>
    <row r="2" ht="120" customHeight="1">
      <c r="A2" s="7" t="inlineStr">
        <is>
          <t>BUG-001</t>
        </is>
      </c>
      <c r="B2" s="8" t="inlineStr">
        <is>
          <t>Results header shows "No Records Found" while the unfiltered list is loading</t>
        </is>
      </c>
      <c r="C2" s="8" t="inlineStr">
        <is>
          <t>Suspected. Problem Review PR-001; exploration potential bug PB-001 (unconfirmed). Reproduced 6 of 6 times; whether it is a defect needs a decision (TQ-013).</t>
        </is>
      </c>
      <c r="D2" s="8" t="inlineStr">
        <is>
          <t>Logged in with the demo account; the Directory page has finished loading.</t>
        </is>
      </c>
      <c r="E2" s="8" t="inlineStr">
        <is>
          <t>1. Open https://opensource-demo.orangehrmlive.com/web/index.php/directory/viewDirectory and log in with the demo account.
2. Wait until the employee cards are displayed.
3. Click the "Directory" item in the left sidebar (or reload the page).
4. Watch the results header text above the cards during the first second.</t>
        </is>
      </c>
      <c r="F2" s="8" t="inlineStr">
        <is>
          <t>Demo account shown on the application's login page (credentials not recorded). No other data: the defect appears on the unfiltered list.</t>
        </is>
      </c>
      <c r="G2" s="8" t="inlineStr">
        <is>
          <t>Expected behavior requires confirmation. No approved requirement states what the header shows while results load (TC-050 is Exploratory, expected result "Not established by approved requirements."; open question TQ-013).</t>
        </is>
      </c>
      <c r="H2" s="8" t="inlineStr">
        <is>
          <t>After sidebar navigation (5 of 5 tries) and a page reload (1 of 1), the header read "No Records Found" with 0 cards for about 0.3 – 0.6 s, then changed to "(307) Records Found" with 14 cards. After Reset it was not observed. Sampled every 50 ms.</t>
        </is>
      </c>
      <c r="I2" s="7" t="inlineStr">
        <is>
          <t>Open</t>
        </is>
      </c>
      <c r="J2" s="7" t="inlineStr">
        <is>
          <t>Suspected</t>
        </is>
      </c>
      <c r="K2" s="7" t="inlineStr">
        <is>
          <t>Low</t>
        </is>
      </c>
      <c r="L2" s="8" t="inlineStr">
        <is>
          <t>the message is shown for about 0.3 – 0.6 s and is then replaced by the correct count and cards; no function is lost, but a user can briefly be told there are no records.</t>
        </is>
      </c>
      <c r="M2" s="7" t="inlineStr">
        <is>
          <t>Medium</t>
        </is>
      </c>
      <c r="N2" s="8" t="inlineStr">
        <is>
          <t>it appears on every opening of the Directory page by the sidebar or a reload (the main entry to the feature); affected case TC-050 has priority Medium (results presentation, PRD FR-024 via PC SA-004).</t>
        </is>
      </c>
      <c r="O2" s="8" t="inlineStr">
        <is>
          <t>- TC-050 (steps performed; Exploratory, no verdict)
Grouping rationale: one symptom in one place (results header during loading). Possibly related: none.</t>
        </is>
      </c>
      <c r="P2" s="7" t="inlineStr">
        <is>
          <t>PR-001</t>
        </is>
      </c>
      <c r="Q2" s="8" t="inlineStr">
        <is>
          <t>Common environment (see Summary). Observed 2026-10-15 between 13:57:28Z and 13:57:45Z.</t>
        </is>
      </c>
      <c r="R2" s="8" t="inlineStr">
        <is>
          <t>Not established — observed symptom only.</t>
        </is>
      </c>
      <c r="S2" s="8" t="inlineStr">
        <is>
          <t>PC SA-004 → TC-050 (Exploratory, observed) → EVD-133 → BUG-001 · related exploration: OBS-022, PB-001 · open question TQ-013</t>
        </is>
      </c>
      <c r="T2" s="8" t="inlineStr">
        <is>
          <t>EVD-133 — other (header timing samples, JSON) — execution/evidence/EVD-133-tc050-header-timing.json
EVD-150 — log — execution/evidence/EVD-150-execution-observation-log.md</t>
        </is>
      </c>
    </row>
    <row r="3" ht="165" customHeight="1">
      <c r="A3" s="7" t="inlineStr">
        <is>
          <t>BUG-002</t>
        </is>
      </c>
      <c r="B3" s="8" t="inlineStr">
        <is>
          <t>Reset does not clear unselected text in Employee Name</t>
        </is>
      </c>
      <c r="C3" s="8" t="inlineStr">
        <is>
          <t>Suspected. Problem Review PR-002. Reproduced twice. No approved case covers Reset with unselected name text (TCI-004).</t>
        </is>
      </c>
      <c r="D3" s="8" t="inlineStr">
        <is>
          <t>Logged in with the demo account; Directory page open with filters at defaults.</t>
        </is>
      </c>
      <c r="E3" s="8" t="inlineStr">
        <is>
          <t>1. Open https://opensource-demo.orangehrmlive.com/web/index.php/directory/viewDirectory and log in with the demo account.
2. In Employee Name, type the first 4 letters of an employee's first name shown on a card (e.g. "Timo"). Do not select a suggestion.
3. Click Reset.
4. Look at the Employee Name field.</t>
        </is>
      </c>
      <c r="F3" s="8" t="inlineStr">
        <is>
          <t>Demo account (credentials not recorded). Employee Name text: the first 4 letters of an employee's first name shown on a card, e.g. "Timo"; no suggestion selected.</t>
        </is>
      </c>
      <c r="G3" s="8" t="inlineStr">
        <is>
          <t>Expected behavior requires confirmation. The approved TC-014 expects Employee Name to be empty after Reset when a suggestion was selected (basis OBS-012); no approved case states the behavior for unselected text.</t>
        </is>
      </c>
      <c r="H3" s="8" t="inlineStr">
        <is>
          <t>Job Title and Location returned to "-- Select --" and the list reloaded, but Employee Name still contained "Timo".</t>
        </is>
      </c>
      <c r="I3" s="7" t="inlineStr">
        <is>
          <t>Open</t>
        </is>
      </c>
      <c r="J3" s="7" t="inlineStr">
        <is>
          <t>Suspected</t>
        </is>
      </c>
      <c r="K3" s="7" t="inlineStr">
        <is>
          <t>Medium</t>
        </is>
      </c>
      <c r="L3" s="8" t="inlineStr">
        <is>
          <t>Reset is meant to return the filters to defaults; with unselected text it resets the dropdowns and reloads the list but leaves the text, so the filter area is partly reset. Workaround: delete the text by hand or reload the page.</t>
        </is>
      </c>
      <c r="M3" s="7" t="inlineStr">
        <is>
          <t>Medium</t>
        </is>
      </c>
      <c r="N3" s="8" t="inlineStr">
        <is>
          <t>Reset is core search behavior (TC-014 priority High, PRD FR-022/FR-023 via PC SA-002/SA-003); only the unselected-text state is affected, and a workaround exists.</t>
        </is>
      </c>
      <c r="O3" s="8" t="inlineStr">
        <is>
          <t>- TC-018 (precondition "click Reset first if any filter is set"; attempt 1 invalidated, see TCI-001)
- TC-014 (related: the approved Reset case with a selected suggestion, which PASSED)
Grouping rationale: one Reset behavior, seen while setting up TC-018. Possibly related: none.</t>
        </is>
      </c>
      <c r="P3" s="7" t="inlineStr">
        <is>
          <t>PR-002</t>
        </is>
      </c>
      <c r="Q3" s="8" t="inlineStr">
        <is>
          <t>Common environment (see Summary). Observed 2026-10-15 at 13:19:05Z and 13:19:25Z.</t>
        </is>
      </c>
      <c r="R3" s="8" t="inlineStr">
        <is>
          <t>Not established — observed symptom only.</t>
        </is>
      </c>
      <c r="S3" s="8" t="inlineStr">
        <is>
          <t>PC SA-002 / PC SA-003 → TC-014, TC-018 (precondition) → EVD-073, EVD-074 → BUG-002 · related exploration: OBS-012 · test case issues TCI-001, TCI-004</t>
        </is>
      </c>
      <c r="T3" s="8" t="inlineStr">
        <is>
          <t>EVD-073 — screenshot — execution/evidence/EVD-073-tc018-attempt1-field-not-cleared.png
EVD-074 — screenshot — execution/evidence/EVD-074-reset-keeps-unselected-name-text.png
EVD-150 — log — execution/evidence/EVD-150-execution-observation-log.md</t>
        </is>
      </c>
    </row>
    <row r="4" ht="135" customHeight="1">
      <c r="A4" s="7" t="inlineStr">
        <is>
          <t>BUG-003</t>
        </is>
      </c>
      <c r="B4" s="8" t="inlineStr">
        <is>
          <t>Selected employee name shows two spaces when there is no middle name</t>
        </is>
      </c>
      <c r="C4" s="8" t="inlineStr">
        <is>
          <t>Suspected. Problem Review PR-003. Same pattern as exploration OBS-016; open question TQ-003.</t>
        </is>
      </c>
      <c r="D4" s="8" t="inlineStr">
        <is>
          <t>Logged in with the demo account; Directory page open; an employee without a middle name exists in the current data.</t>
        </is>
      </c>
      <c r="E4" s="8" t="inlineStr">
        <is>
          <t>1. Open https://opensource-demo.orangehrmlive.com/web/index.php/directory/viewDirectory and log in with the demo account.
2. In Employee Name, type the start of the first name of an employee who has no middle name (e.g. "Rang" for "Ranga Akunuri").
3. Select that employee's suggestion.
4. Inspect the text in the Employee Name field (e.g. check the character codes between first and last name).</t>
        </is>
      </c>
      <c r="F4" s="8" t="inlineStr">
        <is>
          <t>Demo account (credentials not recorded). An employee without a middle name, e.g. "Rang" -&gt; "Ranga Akunuri" (contrast: "Timothy Lewis Amiano", with a middle name).</t>
        </is>
      </c>
      <c r="G4" s="8" t="inlineStr">
        <is>
          <t>Expected behavior requires confirmation (TC-028 Exploratory; TQ-003: is the double space intended or a display defect?).</t>
        </is>
      </c>
      <c r="H4" s="8" t="inlineStr">
        <is>
          <t>The field contained "Ranga␠␠Akunuri" (two spaces, character codes 32 32). For an employee with a middle name ("Timothy Lewis Amiano") the spaces were single. The card name text also contains the double space.</t>
        </is>
      </c>
      <c r="I4" s="7" t="inlineStr">
        <is>
          <t>Open</t>
        </is>
      </c>
      <c r="J4" s="7" t="inlineStr">
        <is>
          <t>Suspected</t>
        </is>
      </c>
      <c r="K4" s="7" t="inlineStr">
        <is>
          <t>Low</t>
        </is>
      </c>
      <c r="L4" s="8" t="inlineStr">
        <is>
          <t>cosmetic text only; searching with the selected name still returns the right employee.</t>
        </is>
      </c>
      <c r="M4" s="7" t="inlineStr">
        <is>
          <t>Low</t>
        </is>
      </c>
      <c r="N4" s="8" t="inlineStr">
        <is>
          <t>cosmetic; affected case TC-028 has priority Medium only because the behavior needs investigation.</t>
        </is>
      </c>
      <c r="O4" s="8" t="inlineStr">
        <is>
          <t>- TC-028 (step 2; Exploratory, no verdict)
Grouping rationale: one display symptom. Possibly related: none.</t>
        </is>
      </c>
      <c r="P4" s="7" t="inlineStr">
        <is>
          <t>PR-003</t>
        </is>
      </c>
      <c r="Q4" s="8" t="inlineStr">
        <is>
          <t>Common environment (see Summary). Observed 2026-10-15 at 13:24:12Z.</t>
        </is>
      </c>
      <c r="R4" s="8" t="inlineStr">
        <is>
          <t>Not established — observed symptom only.</t>
        </is>
      </c>
      <c r="S4" s="8" t="inlineStr">
        <is>
          <t>PC SA-002 → TC-028 (Exploratory, observed) → EVD-097 → BUG-003 · related exploration: OBS-016 · open question TQ-003</t>
        </is>
      </c>
      <c r="T4" s="8" t="inlineStr">
        <is>
          <t>EVD-097 — screenshot — execution/evidence/EVD-097-tc028-double-space.png
EVD-150 — log — execution/evidence/EVD-150-execution-observation-log.md</t>
        </is>
      </c>
    </row>
    <row r="5" ht="120" customHeight="1">
      <c r="A5" s="7" t="inlineStr">
        <is>
          <t>BUG-004</t>
        </is>
      </c>
      <c r="B5" s="8" t="inlineStr">
        <is>
          <t>Copy icons in the employee detail panel are never visible</t>
        </is>
      </c>
      <c r="C5" s="8" t="inlineStr">
        <is>
          <t>Suspected, low confidence. Problem Review PR-004. The intended design is unknown (TQ-010); the icons may be intended to show on a different hover target or viewport.</t>
        </is>
      </c>
      <c r="D5" s="8" t="inlineStr">
        <is>
          <t>Logged in with the demo account; an employee whose detail panel shows Work Telephone and Work Email.</t>
        </is>
      </c>
      <c r="E5" s="8" t="inlineStr">
        <is>
          <t>1. Open https://opensource-demo.orangehrmlive.com/web/index.php/directory/viewDirectory and log in with the demo account.
2. Click an employee card whose panel shows Work Telephone and Work Email.
3. Move the mouse over the Work Telephone row, then the Work Email row.
4. Look for a copy icon next to each value.</t>
        </is>
      </c>
      <c r="F5" s="8" t="inlineStr">
        <is>
          <t>Demo account (credentials not recorded). An employee whose detail panel shows Work Telephone and Work Email (contact values not recorded).</t>
        </is>
      </c>
      <c r="G5" s="8" t="inlineStr">
        <is>
          <t>Expected behavior requires confirmation (TC-046 Exploratory; TQ-010: define the expected behavior of each detail-panel action).</t>
        </is>
      </c>
      <c r="H5" s="8" t="inlineStr">
        <is>
          <t>Two copy buttons (icon class bi-files) exist in the panel next to Work Telephone and Work Email, but stay display:none even while the mouse is over the row or its hover wrapper, so they cannot be clicked.</t>
        </is>
      </c>
      <c r="I5" s="7" t="inlineStr">
        <is>
          <t>Open</t>
        </is>
      </c>
      <c r="J5" s="7" t="inlineStr">
        <is>
          <t>Suspected</t>
        </is>
      </c>
      <c r="K5" s="7" t="inlineStr">
        <is>
          <t>Low</t>
        </is>
      </c>
      <c r="L5" s="8" t="inlineStr">
        <is>
          <t>the copy action cannot be used; the values can still be selected and copied by hand. If copy is an intended feature, this would be a partially impaired function (Medium).</t>
        </is>
      </c>
      <c r="M5" s="7" t="inlineStr">
        <is>
          <t>Low</t>
        </is>
      </c>
      <c r="N5" s="8" t="inlineStr">
        <is>
          <t>intended behavior not established (TC-046 priority Medium for investigation); a manual workaround exists.</t>
        </is>
      </c>
      <c r="O5" s="8" t="inlineStr">
        <is>
          <t>- TC-046 (copy-icon step; Exploratory, no verdict)
Grouping rationale: one control in one panel. Possibly related: none.</t>
        </is>
      </c>
      <c r="P5" s="7" t="inlineStr">
        <is>
          <t>PR-004</t>
        </is>
      </c>
      <c r="Q5" s="8" t="inlineStr">
        <is>
          <t>Common environment (see Summary). Observed 2026-10-15 at 13:34:11Z.</t>
        </is>
      </c>
      <c r="R5" s="8" t="inlineStr">
        <is>
          <t>Not established — observed symptom only.</t>
        </is>
      </c>
      <c r="S5" s="8" t="inlineStr">
        <is>
          <t>PC SA-005 → TC-046 (Exploratory, observed) → EVD-150 → BUG-004 · related exploration: OBS-018 · open question TQ-010</t>
        </is>
      </c>
      <c r="T5" s="8" t="inlineStr">
        <is>
          <t>EVD-150 — log — execution/evidence/EVD-150-execution-observation-log.md
No screenshot was captured for this observation. The DOM reads (reserved as EVD-130) are transcribed in EVD-150 and were not stored as a separate file. Contact values are redacted as [REDACTED: personal data].</t>
        </is>
      </c>
    </row>
    <row r="6" ht="120" customHeight="1">
      <c r="A6" s="7" t="inlineStr">
        <is>
          <t>BUG-005</t>
        </is>
      </c>
      <c r="B6" s="8" t="inlineStr">
        <is>
          <t>"Should not exceed 100 characters" stays visible after the text is shortened</t>
        </is>
      </c>
      <c r="C6" s="8" t="inlineStr">
        <is>
          <t>Suspected. Problem Review PR-005; open question TQ-005.</t>
        </is>
      </c>
      <c r="D6" s="8" t="inlineStr">
        <is>
          <t>Logged in with the demo account; Directory page open.</t>
        </is>
      </c>
      <c r="E6" s="8" t="inlineStr">
        <is>
          <t>1. Open https://opensource-demo.orangehrmlive.com/web/index.php/directory/viewDirectory and log in with the demo account.
2. In Employee Name, enter a string of more than 100 characters and click Search.
3. Replace the text with a short string (e.g. 8 characters). Do not click Search.
4. Look at the message under Employee Name.</t>
        </is>
      </c>
      <c r="F6" s="8" t="inlineStr">
        <is>
          <t>Demo account (credentials not recorded). A string of more than 100 characters (266 characters were used), then the 8-character string "!@#$%^&amp;*".</t>
        </is>
      </c>
      <c r="G6" s="8" t="inlineStr">
        <is>
          <t>Expected behavior requires confirmation (TC-030 Exploratory; TQ-005: define the maximum length and accepted characters; whether messages clear on input is not documented).</t>
        </is>
      </c>
      <c r="H6" s="8" t="inlineStr">
        <is>
          <t>After Search with a 266-character string the message "Should not exceed 100 characters" appeared. After the text was replaced with the 8-character string "!@#$%^&amp;*" the message remained displayed while typing, until the next Search, which then showed "Invalid".</t>
        </is>
      </c>
      <c r="I6" s="7" t="inlineStr">
        <is>
          <t>Open</t>
        </is>
      </c>
      <c r="J6" s="7" t="inlineStr">
        <is>
          <t>Suspected</t>
        </is>
      </c>
      <c r="K6" s="7" t="inlineStr">
        <is>
          <t>Low</t>
        </is>
      </c>
      <c r="L6" s="8" t="inlineStr">
        <is>
          <t>a stale validation message is shown until the next Search; no data or function is affected.</t>
        </is>
      </c>
      <c r="M6" s="7" t="inlineStr">
        <is>
          <t>Low</t>
        </is>
      </c>
      <c r="N6" s="8" t="inlineStr">
        <is>
          <t>minor message behavior; affected case TC-030 has priority Medium only because the behavior needs investigation.</t>
        </is>
      </c>
      <c r="O6" s="8" t="inlineStr">
        <is>
          <t>- TC-030 (steps performed; Exploratory, no verdict; DEV-003: a 266-character string was used instead of 256)
Grouping rationale: one message behavior. Possibly related: none.</t>
        </is>
      </c>
      <c r="P6" s="7" t="inlineStr">
        <is>
          <t>PR-005</t>
        </is>
      </c>
      <c r="Q6" s="8" t="inlineStr">
        <is>
          <t>Common environment (see Summary). Observed 2026-10-15 at 13:25:27Z.</t>
        </is>
      </c>
      <c r="R6" s="8" t="inlineStr">
        <is>
          <t>Not established — observed symptom only.</t>
        </is>
      </c>
      <c r="S6" s="8" t="inlineStr">
        <is>
          <t>PC SA-002 → TC-030 (Exploratory, observed) → EVD-099 → BUG-005 · open question TQ-005</t>
        </is>
      </c>
      <c r="T6" s="8" t="inlineStr">
        <is>
          <t>EVD-099 — screenshot — execution/evidence/EVD-099-tc030-long-input-100-char-message.png
EVD-150 — log — execution/evidence/EVD-150-execution-observation-log.md</t>
        </is>
      </c>
    </row>
  </sheetData>
  <autoFilter ref="A1:T6"/>
  <conditionalFormatting sqref="I2:K6">
    <cfRule type="expression" priority="1" dxfId="0">
      <formula>EXACT(I2,"Medium")</formula>
    </cfRule>
    <cfRule type="expression" priority="2" dxfId="1">
      <formula>EXACT(I2,"High")</formula>
    </cfRule>
    <cfRule type="expression" priority="3" dxfId="2">
      <formula>EXACT(I2,"Critical")</formula>
    </cfRule>
    <cfRule type="expression" priority="4" dxfId="3">
      <formula>EXACT(I2,"Low")</formula>
    </cfRule>
    <cfRule type="expression" priority="5" dxfId="4">
      <formula>EXACT(I2,"Suspected")</formula>
    </cfRule>
    <cfRule type="expression" priority="6" dxfId="5">
      <formula>EXACT(I2,"Confirmed")</formula>
    </cfRule>
    <cfRule type="expression" priority="7" dxfId="6">
      <formula>EXACT(I2,"Open")</formula>
    </cfRule>
  </conditionalFormatting>
  <conditionalFormatting sqref="M2:M6">
    <cfRule type="expression" priority="8" dxfId="0">
      <formula>EXACT(M2,"Medium")</formula>
    </cfRule>
    <cfRule type="expression" priority="9" dxfId="1">
      <formula>EXACT(M2,"High")</formula>
    </cfRule>
    <cfRule type="expression" priority="10" dxfId="2">
      <formula>EXACT(M2,"Critical")</formula>
    </cfRule>
    <cfRule type="expression" priority="11" dxfId="3">
      <formula>EXACT(M2,"Low")</formula>
    </cfRule>
    <cfRule type="expression" priority="12" dxfId="4">
      <formula>EXACT(M2,"Suspected")</formula>
    </cfRule>
    <cfRule type="expression" priority="13" dxfId="5">
      <formula>EXACT(M2,"Confirmed")</formula>
    </cfRule>
    <cfRule type="expression" priority="14" dxfId="6">
      <formula>EXACT(M2,"Open")</formula>
    </cfRule>
  </conditionalFormatting>
  <dataValidations count="4">
    <dataValidation sqref="I2:I6" showDropDown="0" showInputMessage="0" showErrorMessage="0" allowBlank="0" type="list">
      <formula1>"Open,Withdrawn"</formula1>
    </dataValidation>
    <dataValidation sqref="J2:J6" showDropDown="0" showInputMessage="0" showErrorMessage="0" allowBlank="0" type="list">
      <formula1>"Suspected,Confirmed"</formula1>
    </dataValidation>
    <dataValidation sqref="K2:K6" showDropDown="0" showInputMessage="0" showErrorMessage="0" allowBlank="0" type="list">
      <formula1>"Critical,High,Medium,Low"</formula1>
    </dataValidation>
    <dataValidation sqref="M2:M6" showDropDown="0" showInputMessage="0" showErrorMessage="0" allowBlank="0" type="list">
      <formula1>"High,Medium,Low,Not established"</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G13"/>
  <sheetViews>
    <sheetView zoomScale="90" workbookViewId="0">
      <pane ySplit="1" topLeftCell="A2" activePane="bottomLeft" state="frozen"/>
      <selection pane="bottomLeft" activeCell="A1" sqref="A1"/>
    </sheetView>
  </sheetViews>
  <sheetFormatPr baseColWidth="8" defaultRowHeight="15"/>
  <cols>
    <col width="11" customWidth="1" min="1" max="1"/>
    <col width="12" customWidth="1" min="2" max="2"/>
    <col width="16" customWidth="1" min="3" max="3"/>
    <col width="40" customWidth="1" min="4" max="4"/>
    <col width="48" customWidth="1" min="5" max="5"/>
    <col width="20" customWidth="1" min="6" max="6"/>
    <col width="92" customWidth="1" min="7" max="7"/>
  </cols>
  <sheetData>
    <row r="1" ht="30" customHeight="1">
      <c r="A1" s="5" t="inlineStr">
        <is>
          <t>Bug ID</t>
        </is>
      </c>
      <c r="B1" s="5" t="inlineStr">
        <is>
          <t>Evidence ID</t>
        </is>
      </c>
      <c r="C1" s="5" t="inlineStr">
        <is>
          <t>Type</t>
        </is>
      </c>
      <c r="D1" s="5" t="inlineStr">
        <is>
          <t>Description</t>
        </is>
      </c>
      <c r="E1" s="5" t="inlineStr">
        <is>
          <t>Project path</t>
        </is>
      </c>
      <c r="F1" s="5" t="inlineStr">
        <is>
          <t>SHA-256</t>
        </is>
      </c>
      <c r="G1" s="5" t="inlineStr">
        <is>
          <t>Screenshot</t>
        </is>
      </c>
    </row>
    <row r="2" ht="45" customHeight="1">
      <c r="A2" s="7" t="inlineStr">
        <is>
          <t>BUG-001</t>
        </is>
      </c>
      <c r="B2" s="7" t="inlineStr">
        <is>
          <t>EVD-133</t>
        </is>
      </c>
      <c r="C2" s="8" t="inlineStr">
        <is>
          <t>timing data (JSON)</t>
        </is>
      </c>
      <c r="D2" s="8" t="inlineStr">
        <is>
          <t>TC-050: results-header samples every 50 ms during loading</t>
        </is>
      </c>
      <c r="E2" s="8" t="inlineStr">
        <is>
          <t>platform/tasks/orangehrm-ui-api/execution/evidence/EVD-133-tc050-header-timing.json</t>
        </is>
      </c>
      <c r="F2" s="8" t="inlineStr">
        <is>
          <t>55d59439283cc140…</t>
        </is>
      </c>
      <c r="G2" s="8" t="inlineStr">
        <is>
          <t>Not a screenshot (timing data (JSON)): open the file at the project path.</t>
        </is>
      </c>
    </row>
    <row r="3" ht="45" customHeight="1">
      <c r="A3" s="7" t="inlineStr">
        <is>
          <t>BUG-001</t>
        </is>
      </c>
      <c r="B3" s="7" t="inlineStr">
        <is>
          <t>EVD-150</t>
        </is>
      </c>
      <c r="C3" s="8" t="inlineStr">
        <is>
          <t>log (Markdown)</t>
        </is>
      </c>
      <c r="D3" s="8" t="inlineStr">
        <is>
          <t>Execution observation log of 2026-10-15 (all cases; DOM reads transcribed; personal data redacted)</t>
        </is>
      </c>
      <c r="E3" s="8" t="inlineStr">
        <is>
          <t>platform/tasks/orangehrm-ui-api/execution/evidence/EVD-150-execution-observation-log.md</t>
        </is>
      </c>
      <c r="F3" s="8" t="inlineStr">
        <is>
          <t>eea03d03be25eaa1…</t>
        </is>
      </c>
      <c r="G3" s="8" t="inlineStr">
        <is>
          <t>Not a screenshot (log (Markdown)): open the file at the project path.</t>
        </is>
      </c>
    </row>
    <row r="4" ht="45" customHeight="1">
      <c r="A4" s="7" t="inlineStr">
        <is>
          <t>BUG-001</t>
        </is>
      </c>
      <c r="B4" s="7" t="inlineStr">
        <is>
          <t>—</t>
        </is>
      </c>
      <c r="C4" s="8" t="inlineStr">
        <is>
          <t>screenshot</t>
        </is>
      </c>
      <c r="D4" s="8" t="inlineStr">
        <is>
          <t>No screenshot for this bug</t>
        </is>
      </c>
      <c r="E4" s="8" t="inlineStr">
        <is>
          <t>—</t>
        </is>
      </c>
      <c r="F4" s="8" t="inlineStr">
        <is>
          <t>—</t>
        </is>
      </c>
      <c r="G4" s="17" t="inlineStr">
        <is>
          <t>No screenshot available: the symptom lasts about 0.3 – 0.6 s; it was captured as timing samples (EVD-133), and no screen recording was made.</t>
        </is>
      </c>
    </row>
    <row r="5" ht="230" customHeight="1">
      <c r="A5" s="7" t="inlineStr">
        <is>
          <t>BUG-002</t>
        </is>
      </c>
      <c r="B5" s="7" t="inlineStr">
        <is>
          <t>EVD-073</t>
        </is>
      </c>
      <c r="C5" s="8" t="inlineStr">
        <is>
          <t>screenshot</t>
        </is>
      </c>
      <c r="D5" s="8" t="inlineStr">
        <is>
          <t>TC-018 attempt 1: Employee Name not cleared by Reset</t>
        </is>
      </c>
      <c r="E5" s="8" t="inlineStr">
        <is>
          <t>platform/tasks/orangehrm-ui-api/execution/evidence/EVD-073-tc018-attempt1-field-not-cleared.png</t>
        </is>
      </c>
      <c r="F5" s="8" t="inlineStr">
        <is>
          <t>edb5107ae7a119b7…</t>
        </is>
      </c>
      <c r="G5" s="8" t="n"/>
    </row>
    <row r="6" ht="230" customHeight="1">
      <c r="A6" s="7" t="inlineStr">
        <is>
          <t>BUG-002</t>
        </is>
      </c>
      <c r="B6" s="7" t="inlineStr">
        <is>
          <t>EVD-074</t>
        </is>
      </c>
      <c r="C6" s="8" t="inlineStr">
        <is>
          <t>screenshot</t>
        </is>
      </c>
      <c r="D6" s="8" t="inlineStr">
        <is>
          <t>Reset keeps unselected Employee Name text ("Timo")</t>
        </is>
      </c>
      <c r="E6" s="8" t="inlineStr">
        <is>
          <t>platform/tasks/orangehrm-ui-api/execution/evidence/EVD-074-reset-keeps-unselected-name-text.png</t>
        </is>
      </c>
      <c r="F6" s="8" t="inlineStr">
        <is>
          <t>205f38eb996ca93d…</t>
        </is>
      </c>
      <c r="G6" s="8" t="n"/>
    </row>
    <row r="7" ht="45" customHeight="1">
      <c r="A7" s="7" t="inlineStr">
        <is>
          <t>BUG-002</t>
        </is>
      </c>
      <c r="B7" s="7" t="inlineStr">
        <is>
          <t>EVD-150</t>
        </is>
      </c>
      <c r="C7" s="8" t="inlineStr">
        <is>
          <t>log (Markdown)</t>
        </is>
      </c>
      <c r="D7" s="8" t="inlineStr">
        <is>
          <t>Execution observation log of 2026-10-15 (all cases; DOM reads transcribed; personal data redacted)</t>
        </is>
      </c>
      <c r="E7" s="8" t="inlineStr">
        <is>
          <t>platform/tasks/orangehrm-ui-api/execution/evidence/EVD-150-execution-observation-log.md</t>
        </is>
      </c>
      <c r="F7" s="8" t="inlineStr">
        <is>
          <t>eea03d03be25eaa1…</t>
        </is>
      </c>
      <c r="G7" s="8" t="inlineStr">
        <is>
          <t>Not a screenshot (log (Markdown)): open the file at the project path.</t>
        </is>
      </c>
    </row>
    <row r="8" ht="230" customHeight="1">
      <c r="A8" s="7" t="inlineStr">
        <is>
          <t>BUG-003</t>
        </is>
      </c>
      <c r="B8" s="7" t="inlineStr">
        <is>
          <t>EVD-097</t>
        </is>
      </c>
      <c r="C8" s="8" t="inlineStr">
        <is>
          <t>screenshot</t>
        </is>
      </c>
      <c r="D8" s="8" t="inlineStr">
        <is>
          <t>TC-028: selected name with two spaces (no middle name)</t>
        </is>
      </c>
      <c r="E8" s="8" t="inlineStr">
        <is>
          <t>platform/tasks/orangehrm-ui-api/execution/evidence/EVD-097-tc028-double-space.png</t>
        </is>
      </c>
      <c r="F8" s="8" t="inlineStr">
        <is>
          <t>1bc7d3e8a87c75e0…</t>
        </is>
      </c>
      <c r="G8" s="8" t="n"/>
    </row>
    <row r="9" ht="45" customHeight="1">
      <c r="A9" s="7" t="inlineStr">
        <is>
          <t>BUG-003</t>
        </is>
      </c>
      <c r="B9" s="7" t="inlineStr">
        <is>
          <t>EVD-150</t>
        </is>
      </c>
      <c r="C9" s="8" t="inlineStr">
        <is>
          <t>log (Markdown)</t>
        </is>
      </c>
      <c r="D9" s="8" t="inlineStr">
        <is>
          <t>Execution observation log of 2026-10-15 (all cases; DOM reads transcribed; personal data redacted)</t>
        </is>
      </c>
      <c r="E9" s="8" t="inlineStr">
        <is>
          <t>platform/tasks/orangehrm-ui-api/execution/evidence/EVD-150-execution-observation-log.md</t>
        </is>
      </c>
      <c r="F9" s="8" t="inlineStr">
        <is>
          <t>eea03d03be25eaa1…</t>
        </is>
      </c>
      <c r="G9" s="8" t="inlineStr">
        <is>
          <t>Not a screenshot (log (Markdown)): open the file at the project path.</t>
        </is>
      </c>
    </row>
    <row r="10" ht="45" customHeight="1">
      <c r="A10" s="7" t="inlineStr">
        <is>
          <t>BUG-004</t>
        </is>
      </c>
      <c r="B10" s="7" t="inlineStr">
        <is>
          <t>EVD-150</t>
        </is>
      </c>
      <c r="C10" s="8" t="inlineStr">
        <is>
          <t>log (Markdown)</t>
        </is>
      </c>
      <c r="D10" s="8" t="inlineStr">
        <is>
          <t>Execution observation log of 2026-10-15 (all cases; DOM reads transcribed; personal data redacted)</t>
        </is>
      </c>
      <c r="E10" s="8" t="inlineStr">
        <is>
          <t>platform/tasks/orangehrm-ui-api/execution/evidence/EVD-150-execution-observation-log.md</t>
        </is>
      </c>
      <c r="F10" s="8" t="inlineStr">
        <is>
          <t>eea03d03be25eaa1…</t>
        </is>
      </c>
      <c r="G10" s="8" t="inlineStr">
        <is>
          <t>Not a screenshot (log (Markdown)): open the file at the project path.</t>
        </is>
      </c>
    </row>
    <row r="11" ht="45" customHeight="1">
      <c r="A11" s="7" t="inlineStr">
        <is>
          <t>BUG-004</t>
        </is>
      </c>
      <c r="B11" s="7" t="inlineStr">
        <is>
          <t>—</t>
        </is>
      </c>
      <c r="C11" s="8" t="inlineStr">
        <is>
          <t>screenshot</t>
        </is>
      </c>
      <c r="D11" s="8" t="inlineStr">
        <is>
          <t>No screenshot for this bug</t>
        </is>
      </c>
      <c r="E11" s="8" t="inlineStr">
        <is>
          <t>—</t>
        </is>
      </c>
      <c r="F11" s="8" t="inlineStr">
        <is>
          <t>—</t>
        </is>
      </c>
      <c r="G11" s="17" t="inlineStr">
        <is>
          <t>No screenshot available: none was captured for this observation; the DOM reads (reserved as EVD-130) are transcribed in EVD-150, not stored as a separate file.</t>
        </is>
      </c>
    </row>
    <row r="12" ht="230" customHeight="1">
      <c r="A12" s="7" t="inlineStr">
        <is>
          <t>BUG-005</t>
        </is>
      </c>
      <c r="B12" s="7" t="inlineStr">
        <is>
          <t>EVD-099</t>
        </is>
      </c>
      <c r="C12" s="8" t="inlineStr">
        <is>
          <t>screenshot</t>
        </is>
      </c>
      <c r="D12" s="8" t="inlineStr">
        <is>
          <t>TC-030: "Should not exceed 100 characters" message after a long input</t>
        </is>
      </c>
      <c r="E12" s="8" t="inlineStr">
        <is>
          <t>platform/tasks/orangehrm-ui-api/execution/evidence/EVD-099-tc030-long-input-100-char-message.png</t>
        </is>
      </c>
      <c r="F12" s="8" t="inlineStr">
        <is>
          <t>73c6e28b59f0d017…</t>
        </is>
      </c>
      <c r="G12" s="8" t="n"/>
    </row>
    <row r="13" ht="45" customHeight="1">
      <c r="A13" s="7" t="inlineStr">
        <is>
          <t>BUG-005</t>
        </is>
      </c>
      <c r="B13" s="7" t="inlineStr">
        <is>
          <t>EVD-150</t>
        </is>
      </c>
      <c r="C13" s="8" t="inlineStr">
        <is>
          <t>log (Markdown)</t>
        </is>
      </c>
      <c r="D13" s="8" t="inlineStr">
        <is>
          <t>Execution observation log of 2026-10-15 (all cases; DOM reads transcribed; personal data redacted)</t>
        </is>
      </c>
      <c r="E13" s="8" t="inlineStr">
        <is>
          <t>platform/tasks/orangehrm-ui-api/execution/evidence/EVD-150-execution-observation-log.md</t>
        </is>
      </c>
      <c r="F13" s="8" t="inlineStr">
        <is>
          <t>eea03d03be25eaa1…</t>
        </is>
      </c>
      <c r="G13" s="8" t="inlineStr">
        <is>
          <t>Not a screenshot (log (Markdown)): open the file at the project path.</t>
        </is>
      </c>
    </row>
  </sheetData>
  <autoFilter ref="A1:G13"/>
  <pageMargins left="0.75" right="0.75" top="1" bottom="1" header="0.5" footer="0.5"/>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AI QA Platform (manual-execution stage)</dc:creator>
  <dc:title>OrangeHRM Directory — Bug Report Tracker</dc:title>
  <dc:subject>BUG-001 – BUG-005 (all Suspected) from bugs/BugReports.md</dc:subject>
  <dcterms:created xsi:type="dcterms:W3CDTF">2026-10-18T09:50:33Z</dcterms:created>
  <dcterms:modified xsi:type="dcterms:W3CDTF">2026-10-18T09:50:33Z</dcterms:modified>
</cp:coreProperties>
</file>